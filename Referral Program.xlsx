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ham/Desktop/"/>
    </mc:Choice>
  </mc:AlternateContent>
  <xr:revisionPtr revIDLastSave="0" documentId="8_{92902EE4-0C85-EC41-BF3E-03988602B9A4}" xr6:coauthVersionLast="47" xr6:coauthVersionMax="47" xr10:uidLastSave="{00000000-0000-0000-0000-000000000000}"/>
  <bookViews>
    <workbookView xWindow="1080" yWindow="1160" windowWidth="27640" windowHeight="16580" xr2:uid="{5448A540-062C-9E43-B032-D85A219BCFDA}"/>
  </bookViews>
  <sheets>
    <sheet name="Referral TnC" sheetId="3" r:id="rId1"/>
    <sheet name="Sample walle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3" l="1"/>
  <c r="B10" i="3"/>
  <c r="B12" i="3" s="1"/>
  <c r="D19" i="1"/>
  <c r="E3" i="1" s="1"/>
  <c r="D11" i="1"/>
  <c r="D12" i="1" s="1"/>
  <c r="D3" i="1" s="1"/>
  <c r="F3" i="1" s="1"/>
  <c r="B15" i="3" l="1"/>
  <c r="B13" i="3"/>
  <c r="B14" i="3" s="1"/>
</calcChain>
</file>

<file path=xl/sharedStrings.xml><?xml version="1.0" encoding="utf-8"?>
<sst xmlns="http://schemas.openxmlformats.org/spreadsheetml/2006/main" count="58" uniqueCount="54">
  <si>
    <t>Number</t>
  </si>
  <si>
    <t>Total wallet</t>
  </si>
  <si>
    <t>Redeemed</t>
  </si>
  <si>
    <t>Wallet balance</t>
  </si>
  <si>
    <t>Customer name</t>
  </si>
  <si>
    <t>Bill amount</t>
  </si>
  <si>
    <t>(Before GST after DISC)</t>
  </si>
  <si>
    <t>Total</t>
  </si>
  <si>
    <t>Encash/Redeem</t>
  </si>
  <si>
    <t>Amount</t>
  </si>
  <si>
    <t>Encash</t>
  </si>
  <si>
    <t>Redeem</t>
  </si>
  <si>
    <t>INV85</t>
  </si>
  <si>
    <t>Date</t>
  </si>
  <si>
    <t>Invoice No</t>
  </si>
  <si>
    <t>Total Redeemed</t>
  </si>
  <si>
    <t>Total Referral wallet</t>
  </si>
  <si>
    <t>Referrer</t>
  </si>
  <si>
    <t>Referral code</t>
  </si>
  <si>
    <t>Referrals</t>
  </si>
  <si>
    <t>1.  Program Overview</t>
  </si>
  <si>
    <t>When a Marketing Associate (Person A) refers a new customer (Person B) to Éclat Diamonds:</t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</si>
  <si>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9"/>
        <color rgb="FF1A1A1A"/>
        <rFont val="Arial"/>
        <family val="2"/>
      </rPr>
      <t>Person B gets 5% off on all diamond items on their bill.</t>
    </r>
  </si>
  <si>
    <r>
      <t>•</t>
    </r>
    <r>
      <rPr>
        <sz val="7"/>
        <color theme="1"/>
        <rFont val="Times New Roman"/>
        <family val="1"/>
      </rPr>
      <t xml:space="preserve">      </t>
    </r>
    <r>
      <rPr>
        <sz val="9"/>
        <color rgb="FF1A1A1A"/>
        <rFont val="Arial"/>
        <family val="2"/>
      </rPr>
      <t>Person A earns 5% of Person B's pre-GST subtotal, credited to their wallet — redeemable in-store or encashable.</t>
    </r>
  </si>
  <si>
    <t>Person B pays</t>
  </si>
  <si>
    <t>Gold value</t>
  </si>
  <si>
    <t>Diamond value</t>
  </si>
  <si>
    <t>Making charges</t>
  </si>
  <si>
    <t>Person B discount (5% on diamonds)</t>
  </si>
  <si>
    <t>Ring</t>
  </si>
  <si>
    <t>Total value</t>
  </si>
  <si>
    <t>After discount</t>
  </si>
  <si>
    <t>Gst</t>
  </si>
  <si>
    <t>Person A wallet credit (5% × ₹97000)</t>
  </si>
  <si>
    <t>Key rule: Person A's credit is always 5% of the pre-GST subtotal — after diamond discount, before GST.</t>
  </si>
  <si>
    <t>Terms &amp; Conditions</t>
  </si>
  <si>
    <r>
      <t>2.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Referral code must be presented before the bill is raised. Retroactive application is not permitted.</t>
    </r>
  </si>
  <si>
    <r>
      <t>3.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Person B must be a genuinely new customer — verified by PAN/Aadhaar. Existing customers are ineligible regardless of prior visit frequency.</t>
    </r>
  </si>
  <si>
    <r>
      <t>4.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Referrals between immediate family members at the same address are not permitted.</t>
    </r>
  </si>
  <si>
    <r>
      <t>6.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Referral discount is not combinable with any other offer or promotional price.</t>
    </r>
  </si>
  <si>
    <r>
      <t>7.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Wallet credits are valid for 24 months from last activity.</t>
    </r>
  </si>
  <si>
    <r>
      <t>9.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The Company may terminate MA membership for fraud, misrepresentation, or breach of these terms. All unutilised credits are forfeited upon termination.</t>
    </r>
  </si>
  <si>
    <r>
      <t>10.</t>
    </r>
    <r>
      <rPr>
        <sz val="11"/>
        <color theme="1"/>
        <rFont val="Times New Roman"/>
        <family val="1"/>
      </rPr>
      <t xml:space="preserve"> </t>
    </r>
    <r>
      <rPr>
        <sz val="11"/>
        <color rgb="FF1A1A1A"/>
        <rFont val="Arial"/>
        <family val="2"/>
      </rPr>
      <t>Disputes must be raised in writing within 15 days of the transaction. The Company's decision is final.</t>
    </r>
  </si>
  <si>
    <r>
      <t>11.</t>
    </r>
    <r>
      <rPr>
        <sz val="11"/>
        <color theme="1"/>
        <rFont val="Times New Roman"/>
        <family val="1"/>
      </rPr>
      <t xml:space="preserve"> </t>
    </r>
    <r>
      <rPr>
        <sz val="11"/>
        <color rgb="FF1A1A1A"/>
        <rFont val="Arial"/>
        <family val="2"/>
      </rPr>
      <t>Company holds the right to change or ammend the programme or terms and conditions without any notice.</t>
    </r>
  </si>
  <si>
    <t>INV170</t>
  </si>
  <si>
    <t>INV185</t>
  </si>
  <si>
    <t>INV235</t>
  </si>
  <si>
    <r>
      <t>8.</t>
    </r>
    <r>
      <rPr>
        <sz val="11"/>
        <color theme="1"/>
        <rFont val="Times New Roman"/>
        <family val="1"/>
      </rPr>
      <t xml:space="preserve">  </t>
    </r>
    <r>
      <rPr>
        <sz val="11"/>
        <color rgb="FF1A1A1A"/>
        <rFont val="Arial"/>
        <family val="2"/>
      </rPr>
      <t>Wallet will be credited once the complete sale is completed</t>
    </r>
  </si>
  <si>
    <r>
      <t>1.</t>
    </r>
    <r>
      <rPr>
        <sz val="11"/>
        <color theme="1"/>
        <rFont val="Times New Roman"/>
        <family val="1"/>
      </rPr>
      <t xml:space="preserve">   </t>
    </r>
    <r>
      <rPr>
        <sz val="11"/>
        <color rgb="FF1A1A1A"/>
        <rFont val="Arial"/>
        <family val="2"/>
      </rPr>
      <t>Only 18+ individuals may enrol as Marketing Associates (MAs).</t>
    </r>
  </si>
  <si>
    <t>Naman jain</t>
  </si>
  <si>
    <t>SAURABH</t>
  </si>
  <si>
    <t>JANVI</t>
  </si>
  <si>
    <t>RIDHDHI</t>
  </si>
  <si>
    <t>NAMANJ5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</si>
</sst>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#,##0_);[Red]\(&quot;₹&quot;#,##0\)"/>
  </numFmts>
  <fonts count="1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9"/>
      <color theme="1"/>
      <name val="Arial"/>
      <family val="2"/>
    </font>
    <font>
      <sz val="9"/>
      <color rgb="FF1A1A1A"/>
      <name val="Arial"/>
      <family val="2"/>
    </font>
    <font>
      <sz val="7"/>
      <color theme="1"/>
      <name val="Times New Roman"/>
      <family val="1"/>
    </font>
    <font>
      <b/>
      <sz val="8.5"/>
      <color rgb="FFFFFFFF"/>
      <name val="Arial"/>
      <family val="2"/>
    </font>
    <font>
      <b/>
      <sz val="8.5"/>
      <color rgb="FF1A1A1A"/>
      <name val="Arial"/>
      <family val="2"/>
    </font>
    <font>
      <sz val="8.5"/>
      <color rgb="FF1A1A1A"/>
      <name val="Arial"/>
      <family val="2"/>
    </font>
    <font>
      <b/>
      <sz val="8.5"/>
      <color rgb="FF1A5C2E"/>
      <name val="Arial"/>
      <family val="2"/>
    </font>
    <font>
      <i/>
      <sz val="8.5"/>
      <color rgb="FF8B6914"/>
      <name val="Arial"/>
      <family val="2"/>
    </font>
    <font>
      <sz val="11"/>
      <color theme="1"/>
      <name val="Arial"/>
      <family val="2"/>
    </font>
    <font>
      <sz val="11"/>
      <color theme="1"/>
      <name val="Times New Roman"/>
      <family val="1"/>
    </font>
    <font>
      <sz val="11"/>
      <color rgb="FF1A1A1A"/>
      <name val="Arial"/>
      <family val="2"/>
    </font>
    <font>
      <b/>
      <sz val="11"/>
      <color theme="6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1" fillId="0" borderId="10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2" borderId="7" xfId="0" applyFill="1" applyBorder="1"/>
    <xf numFmtId="0" fontId="1" fillId="3" borderId="5" xfId="0" applyFont="1" applyFill="1" applyBorder="1"/>
    <xf numFmtId="0" fontId="1" fillId="3" borderId="6" xfId="0" applyFont="1" applyFill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4" borderId="13" xfId="0" applyFont="1" applyFill="1" applyBorder="1" applyAlignment="1">
      <alignment horizontal="left" vertical="center" wrapText="1" indent="1"/>
    </xf>
    <xf numFmtId="0" fontId="5" fillId="4" borderId="14" xfId="0" applyFont="1" applyFill="1" applyBorder="1" applyAlignment="1">
      <alignment horizontal="right" vertical="center" wrapText="1" indent="1"/>
    </xf>
    <xf numFmtId="0" fontId="6" fillId="5" borderId="15" xfId="0" applyFont="1" applyFill="1" applyBorder="1" applyAlignment="1">
      <alignment horizontal="left" vertical="center" wrapText="1" indent="1"/>
    </xf>
    <xf numFmtId="0" fontId="6" fillId="6" borderId="15" xfId="0" applyFont="1" applyFill="1" applyBorder="1" applyAlignment="1">
      <alignment horizontal="left" vertical="center" wrapText="1" indent="1"/>
    </xf>
    <xf numFmtId="6" fontId="7" fillId="6" borderId="16" xfId="0" applyNumberFormat="1" applyFont="1" applyFill="1" applyBorder="1" applyAlignment="1">
      <alignment horizontal="right" vertical="center" wrapText="1" indent="1"/>
    </xf>
    <xf numFmtId="0" fontId="5" fillId="4" borderId="15" xfId="0" applyFont="1" applyFill="1" applyBorder="1" applyAlignment="1">
      <alignment horizontal="left" vertical="center" wrapText="1" indent="1"/>
    </xf>
    <xf numFmtId="6" fontId="5" fillId="4" borderId="16" xfId="0" applyNumberFormat="1" applyFont="1" applyFill="1" applyBorder="1" applyAlignment="1">
      <alignment horizontal="right" vertical="center" wrapText="1" indent="1"/>
    </xf>
    <xf numFmtId="0" fontId="8" fillId="7" borderId="15" xfId="0" applyFont="1" applyFill="1" applyBorder="1" applyAlignment="1">
      <alignment horizontal="left" vertical="center" wrapText="1" indent="1"/>
    </xf>
    <xf numFmtId="6" fontId="8" fillId="7" borderId="16" xfId="0" applyNumberFormat="1" applyFont="1" applyFill="1" applyBorder="1" applyAlignment="1">
      <alignment horizontal="right" vertical="center" wrapText="1" indent="1"/>
    </xf>
    <xf numFmtId="0" fontId="6" fillId="7" borderId="15" xfId="0" applyFont="1" applyFill="1" applyBorder="1" applyAlignment="1">
      <alignment horizontal="left" vertical="center" wrapText="1" indent="1"/>
    </xf>
    <xf numFmtId="6" fontId="7" fillId="7" borderId="16" xfId="0" applyNumberFormat="1" applyFont="1" applyFill="1" applyBorder="1" applyAlignment="1">
      <alignment horizontal="right" vertical="center" wrapText="1" indent="1"/>
    </xf>
    <xf numFmtId="0" fontId="9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F6E2-B1B4-C843-8B46-29C1506B047A}">
  <dimension ref="A1:I28"/>
  <sheetViews>
    <sheetView tabSelected="1" zoomScale="156" workbookViewId="0">
      <selection activeCell="E9" sqref="E9"/>
    </sheetView>
  </sheetViews>
  <sheetFormatPr baseColWidth="10" defaultRowHeight="16" x14ac:dyDescent="0.2"/>
  <cols>
    <col min="1" max="1" width="29.6640625" customWidth="1"/>
  </cols>
  <sheetData>
    <row r="1" spans="1:9" x14ac:dyDescent="0.2">
      <c r="A1" s="34" t="s">
        <v>20</v>
      </c>
      <c r="B1" s="34"/>
      <c r="C1" s="34"/>
      <c r="D1" s="34"/>
      <c r="E1" s="34"/>
      <c r="F1" s="34"/>
      <c r="G1" s="34"/>
      <c r="H1" s="34"/>
    </row>
    <row r="2" spans="1:9" x14ac:dyDescent="0.2">
      <c r="A2" s="35" t="s">
        <v>21</v>
      </c>
      <c r="B2" s="35"/>
      <c r="C2" s="35"/>
      <c r="D2" s="35"/>
      <c r="E2" s="35"/>
      <c r="F2" s="35"/>
      <c r="G2" s="35"/>
      <c r="H2" s="35"/>
      <c r="I2" s="19"/>
    </row>
    <row r="3" spans="1:9" x14ac:dyDescent="0.2">
      <c r="A3" s="33" t="s">
        <v>22</v>
      </c>
      <c r="B3" s="33"/>
      <c r="C3" s="33"/>
      <c r="D3" s="33"/>
      <c r="E3" s="33"/>
      <c r="F3" s="33"/>
      <c r="G3" s="33"/>
      <c r="H3" s="33"/>
    </row>
    <row r="4" spans="1:9" x14ac:dyDescent="0.2">
      <c r="A4" s="33" t="s">
        <v>23</v>
      </c>
      <c r="B4" s="33"/>
      <c r="C4" s="33"/>
      <c r="D4" s="33"/>
      <c r="E4" s="33"/>
      <c r="F4" s="33"/>
      <c r="G4" s="33"/>
      <c r="H4" s="33"/>
    </row>
    <row r="5" spans="1:9" ht="17" thickBot="1" x14ac:dyDescent="0.25">
      <c r="A5" s="20"/>
    </row>
    <row r="6" spans="1:9" ht="17" thickBot="1" x14ac:dyDescent="0.25">
      <c r="A6" s="21" t="s">
        <v>29</v>
      </c>
      <c r="B6" s="22" t="s">
        <v>9</v>
      </c>
    </row>
    <row r="7" spans="1:9" ht="17" thickBot="1" x14ac:dyDescent="0.25">
      <c r="A7" s="24" t="s">
        <v>25</v>
      </c>
      <c r="B7" s="25">
        <v>30000</v>
      </c>
    </row>
    <row r="8" spans="1:9" ht="17" thickBot="1" x14ac:dyDescent="0.25">
      <c r="A8" s="23" t="s">
        <v>26</v>
      </c>
      <c r="B8" s="25">
        <v>60000</v>
      </c>
    </row>
    <row r="9" spans="1:9" ht="17" thickBot="1" x14ac:dyDescent="0.25">
      <c r="A9" s="23" t="s">
        <v>27</v>
      </c>
      <c r="B9" s="25">
        <v>10000</v>
      </c>
    </row>
    <row r="10" spans="1:9" ht="17" thickBot="1" x14ac:dyDescent="0.25">
      <c r="A10" s="23" t="s">
        <v>30</v>
      </c>
      <c r="B10" s="25">
        <f>SUM(B7:B9)</f>
        <v>100000</v>
      </c>
    </row>
    <row r="11" spans="1:9" ht="17" thickBot="1" x14ac:dyDescent="0.25">
      <c r="A11" s="30" t="s">
        <v>28</v>
      </c>
      <c r="B11" s="31">
        <f>B8*5%</f>
        <v>3000</v>
      </c>
    </row>
    <row r="12" spans="1:9" ht="17" thickBot="1" x14ac:dyDescent="0.25">
      <c r="A12" s="23" t="s">
        <v>31</v>
      </c>
      <c r="B12" s="25">
        <f>B10-B11</f>
        <v>97000</v>
      </c>
    </row>
    <row r="13" spans="1:9" ht="17" thickBot="1" x14ac:dyDescent="0.25">
      <c r="A13" s="23" t="s">
        <v>32</v>
      </c>
      <c r="B13" s="25">
        <f>B12*3%</f>
        <v>2910</v>
      </c>
    </row>
    <row r="14" spans="1:9" ht="17" thickBot="1" x14ac:dyDescent="0.25">
      <c r="A14" s="26" t="s">
        <v>24</v>
      </c>
      <c r="B14" s="27">
        <f>B12+B13</f>
        <v>99910</v>
      </c>
    </row>
    <row r="15" spans="1:9" ht="17" thickBot="1" x14ac:dyDescent="0.25">
      <c r="A15" s="28" t="s">
        <v>33</v>
      </c>
      <c r="B15" s="29">
        <f>B12*5%</f>
        <v>4850</v>
      </c>
    </row>
    <row r="16" spans="1:9" x14ac:dyDescent="0.2">
      <c r="A16" s="32" t="s">
        <v>34</v>
      </c>
    </row>
    <row r="18" spans="1:1" s="37" customFormat="1" ht="14" x14ac:dyDescent="0.2">
      <c r="A18" s="37" t="s">
        <v>35</v>
      </c>
    </row>
    <row r="19" spans="1:1" s="36" customFormat="1" ht="14" x14ac:dyDescent="0.2">
      <c r="A19" s="36" t="s">
        <v>48</v>
      </c>
    </row>
    <row r="20" spans="1:1" s="36" customFormat="1" ht="14" x14ac:dyDescent="0.2">
      <c r="A20" s="36" t="s">
        <v>36</v>
      </c>
    </row>
    <row r="21" spans="1:1" s="36" customFormat="1" ht="14" x14ac:dyDescent="0.2">
      <c r="A21" s="36" t="s">
        <v>37</v>
      </c>
    </row>
    <row r="22" spans="1:1" s="36" customFormat="1" ht="14" x14ac:dyDescent="0.2">
      <c r="A22" s="36" t="s">
        <v>38</v>
      </c>
    </row>
    <row r="23" spans="1:1" s="36" customFormat="1" ht="14" x14ac:dyDescent="0.2">
      <c r="A23" s="36" t="s">
        <v>39</v>
      </c>
    </row>
    <row r="24" spans="1:1" s="36" customFormat="1" ht="14" x14ac:dyDescent="0.2">
      <c r="A24" s="36" t="s">
        <v>40</v>
      </c>
    </row>
    <row r="25" spans="1:1" s="36" customFormat="1" ht="14" x14ac:dyDescent="0.2">
      <c r="A25" s="36" t="s">
        <v>47</v>
      </c>
    </row>
    <row r="26" spans="1:1" s="36" customFormat="1" ht="14" x14ac:dyDescent="0.2">
      <c r="A26" s="36" t="s">
        <v>41</v>
      </c>
    </row>
    <row r="27" spans="1:1" s="36" customFormat="1" ht="14" x14ac:dyDescent="0.2">
      <c r="A27" s="36" t="s">
        <v>42</v>
      </c>
    </row>
    <row r="28" spans="1:1" s="36" customFormat="1" ht="14" x14ac:dyDescent="0.2">
      <c r="A28" s="36" t="s">
        <v>43</v>
      </c>
    </row>
  </sheetData>
  <mergeCells count="15">
    <mergeCell ref="A26:XFD26"/>
    <mergeCell ref="A27:XFD27"/>
    <mergeCell ref="A28:XFD28"/>
    <mergeCell ref="A18:XFD18"/>
    <mergeCell ref="A20:XFD20"/>
    <mergeCell ref="A21:XFD21"/>
    <mergeCell ref="A22:XFD22"/>
    <mergeCell ref="A23:XFD23"/>
    <mergeCell ref="A24:XFD24"/>
    <mergeCell ref="A25:XFD25"/>
    <mergeCell ref="A3:H3"/>
    <mergeCell ref="A4:H4"/>
    <mergeCell ref="A1:H1"/>
    <mergeCell ref="A2:H2"/>
    <mergeCell ref="A19:XFD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4D181-8A91-FE4C-91D6-0B293283F2BE}">
  <dimension ref="A1:F19"/>
  <sheetViews>
    <sheetView zoomScale="140" workbookViewId="0">
      <selection activeCell="H9" sqref="H9"/>
    </sheetView>
  </sheetViews>
  <sheetFormatPr baseColWidth="10" defaultRowHeight="16" x14ac:dyDescent="0.2"/>
  <cols>
    <col min="1" max="1" width="18.33203125" customWidth="1"/>
    <col min="2" max="2" width="14" customWidth="1"/>
    <col min="3" max="3" width="13.5" bestFit="1" customWidth="1"/>
    <col min="4" max="4" width="11.83203125" customWidth="1"/>
    <col min="6" max="7" width="13.33203125" bestFit="1" customWidth="1"/>
    <col min="8" max="8" width="12.1640625" bestFit="1" customWidth="1"/>
    <col min="10" max="10" width="12.1640625" bestFit="1" customWidth="1"/>
    <col min="12" max="12" width="12.1640625" bestFit="1" customWidth="1"/>
  </cols>
  <sheetData>
    <row r="1" spans="1:6" ht="17" thickBot="1" x14ac:dyDescent="0.25"/>
    <row r="2" spans="1:6" x14ac:dyDescent="0.2">
      <c r="A2" s="13" t="s">
        <v>17</v>
      </c>
      <c r="B2" s="14" t="s">
        <v>0</v>
      </c>
      <c r="C2" s="14" t="s">
        <v>18</v>
      </c>
      <c r="D2" s="14" t="s">
        <v>1</v>
      </c>
      <c r="E2" s="14" t="s">
        <v>2</v>
      </c>
      <c r="F2" s="15" t="s">
        <v>3</v>
      </c>
    </row>
    <row r="3" spans="1:6" ht="17" thickBot="1" x14ac:dyDescent="0.25">
      <c r="A3" s="5" t="s">
        <v>49</v>
      </c>
      <c r="B3" s="6">
        <v>9597805640</v>
      </c>
      <c r="C3" s="6" t="s">
        <v>53</v>
      </c>
      <c r="D3" s="6">
        <f>D12</f>
        <v>59755</v>
      </c>
      <c r="E3" s="6">
        <f>D19</f>
        <v>51400</v>
      </c>
      <c r="F3" s="16">
        <f>D3-E3</f>
        <v>8355</v>
      </c>
    </row>
    <row r="4" spans="1:6" ht="17" thickBot="1" x14ac:dyDescent="0.25"/>
    <row r="5" spans="1:6" ht="17" thickBot="1" x14ac:dyDescent="0.25">
      <c r="A5" s="12" t="s">
        <v>19</v>
      </c>
      <c r="B5" s="10"/>
      <c r="C5" s="10"/>
      <c r="D5" s="10"/>
      <c r="E5" s="10"/>
      <c r="F5" s="11"/>
    </row>
    <row r="6" spans="1:6" x14ac:dyDescent="0.2">
      <c r="A6" s="13" t="s">
        <v>4</v>
      </c>
      <c r="B6" s="14" t="s">
        <v>13</v>
      </c>
      <c r="C6" s="14" t="s">
        <v>14</v>
      </c>
      <c r="D6" s="14" t="s">
        <v>5</v>
      </c>
      <c r="E6" s="14" t="s">
        <v>6</v>
      </c>
      <c r="F6" s="4"/>
    </row>
    <row r="7" spans="1:6" x14ac:dyDescent="0.2">
      <c r="A7" s="8" t="s">
        <v>50</v>
      </c>
      <c r="B7" s="2">
        <v>46164</v>
      </c>
      <c r="C7" s="2" t="s">
        <v>44</v>
      </c>
      <c r="D7" s="1">
        <v>203659</v>
      </c>
      <c r="E7" s="1"/>
      <c r="F7" s="9"/>
    </row>
    <row r="8" spans="1:6" x14ac:dyDescent="0.2">
      <c r="A8" s="8" t="s">
        <v>51</v>
      </c>
      <c r="B8" s="2">
        <v>46008</v>
      </c>
      <c r="C8" s="2" t="s">
        <v>45</v>
      </c>
      <c r="D8" s="1">
        <v>399050</v>
      </c>
      <c r="E8" s="1"/>
      <c r="F8" s="9"/>
    </row>
    <row r="9" spans="1:6" x14ac:dyDescent="0.2">
      <c r="A9" s="8" t="s">
        <v>52</v>
      </c>
      <c r="B9" s="2">
        <v>46033</v>
      </c>
      <c r="C9" s="2" t="s">
        <v>46</v>
      </c>
      <c r="D9" s="1">
        <v>592391</v>
      </c>
      <c r="E9" s="1"/>
      <c r="F9" s="9"/>
    </row>
    <row r="10" spans="1:6" x14ac:dyDescent="0.2">
      <c r="A10" s="8"/>
      <c r="B10" s="1"/>
      <c r="C10" s="1"/>
      <c r="D10" s="1"/>
      <c r="E10" s="1"/>
      <c r="F10" s="9"/>
    </row>
    <row r="11" spans="1:6" x14ac:dyDescent="0.2">
      <c r="A11" s="8" t="s">
        <v>7</v>
      </c>
      <c r="B11" s="1"/>
      <c r="C11" s="1"/>
      <c r="D11" s="1">
        <f>SUM(D7:D10)</f>
        <v>1195100</v>
      </c>
      <c r="E11" s="1"/>
      <c r="F11" s="9"/>
    </row>
    <row r="12" spans="1:6" ht="17" thickBot="1" x14ac:dyDescent="0.25">
      <c r="A12" s="17" t="s">
        <v>16</v>
      </c>
      <c r="B12" s="18"/>
      <c r="C12" s="18"/>
      <c r="D12" s="18">
        <f>D11*5%</f>
        <v>59755</v>
      </c>
      <c r="E12" s="6"/>
      <c r="F12" s="7"/>
    </row>
    <row r="13" spans="1:6" ht="17" thickBot="1" x14ac:dyDescent="0.25"/>
    <row r="14" spans="1:6" ht="17" thickBot="1" x14ac:dyDescent="0.25">
      <c r="A14" s="12" t="s">
        <v>2</v>
      </c>
      <c r="B14" s="10"/>
      <c r="C14" s="10"/>
      <c r="D14" s="10"/>
      <c r="E14" s="10"/>
      <c r="F14" s="11"/>
    </row>
    <row r="15" spans="1:6" x14ac:dyDescent="0.2">
      <c r="A15" s="13" t="s">
        <v>8</v>
      </c>
      <c r="B15" s="14" t="s">
        <v>13</v>
      </c>
      <c r="C15" s="14" t="s">
        <v>14</v>
      </c>
      <c r="D15" s="14" t="s">
        <v>9</v>
      </c>
      <c r="E15" s="3"/>
      <c r="F15" s="4"/>
    </row>
    <row r="16" spans="1:6" x14ac:dyDescent="0.2">
      <c r="A16" s="8" t="s">
        <v>10</v>
      </c>
      <c r="B16" s="2">
        <v>46101</v>
      </c>
      <c r="C16" s="2"/>
      <c r="D16" s="1">
        <v>20000</v>
      </c>
      <c r="E16" s="1"/>
      <c r="F16" s="9"/>
    </row>
    <row r="17" spans="1:6" x14ac:dyDescent="0.2">
      <c r="A17" s="8" t="s">
        <v>11</v>
      </c>
      <c r="B17" s="2">
        <v>46155</v>
      </c>
      <c r="C17" s="1" t="s">
        <v>12</v>
      </c>
      <c r="D17" s="1">
        <v>31400</v>
      </c>
      <c r="E17" s="1"/>
      <c r="F17" s="9"/>
    </row>
    <row r="18" spans="1:6" x14ac:dyDescent="0.2">
      <c r="A18" s="8"/>
      <c r="B18" s="1"/>
      <c r="C18" s="1"/>
      <c r="D18" s="1"/>
      <c r="E18" s="1"/>
      <c r="F18" s="9"/>
    </row>
    <row r="19" spans="1:6" ht="17" thickBot="1" x14ac:dyDescent="0.25">
      <c r="A19" s="17" t="s">
        <v>15</v>
      </c>
      <c r="B19" s="18"/>
      <c r="C19" s="18"/>
      <c r="D19" s="18">
        <f>SUM(D16:D18)</f>
        <v>51400</v>
      </c>
      <c r="E19" s="6"/>
      <c r="F1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Referral TnC</vt:lpstr>
      <vt:lpstr>Sample wallet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Pratham Jain</dc:creator>
  <cp:lastModifiedBy>Pratham Jain</cp:lastModifiedBy>
  <dcterms:created xsi:type="dcterms:W3CDTF">2026-06-06T06:01:06Z</dcterms:created>
  <dcterms:modified xsi:type="dcterms:W3CDTF">2026-07-07T06:42:04Z</dcterms:modified>
</cp:coreProperties>
</file>