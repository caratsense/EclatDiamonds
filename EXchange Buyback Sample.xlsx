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am/Desktop/"/>
    </mc:Choice>
  </mc:AlternateContent>
  <xr:revisionPtr revIDLastSave="0" documentId="8_{CF5513C3-5A93-BB44-ADB2-E5E1B6F68C5B}" xr6:coauthVersionLast="47" xr6:coauthVersionMax="47" xr10:uidLastSave="{00000000-0000-0000-0000-000000000000}"/>
  <bookViews>
    <workbookView xWindow="1080" yWindow="1240" windowWidth="27640" windowHeight="16540" xr2:uid="{6571EFE1-D232-7144-B6AF-FA110417E7A3}"/>
  </bookViews>
  <sheets>
    <sheet name="Exchange Buyback calcul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C29" i="1"/>
  <c r="G28" i="1"/>
  <c r="I28" i="1" s="1"/>
  <c r="F28" i="1"/>
  <c r="C28" i="1"/>
  <c r="C30" i="1" s="1"/>
  <c r="F20" i="1"/>
  <c r="E19" i="1"/>
  <c r="E29" i="1" s="1"/>
  <c r="F29" i="1" s="1"/>
  <c r="G29" i="1" s="1"/>
  <c r="C19" i="1"/>
  <c r="F18" i="1"/>
  <c r="G18" i="1" s="1"/>
  <c r="C18" i="1"/>
  <c r="C20" i="1" s="1"/>
  <c r="G20" i="1" s="1"/>
  <c r="I20" i="1" s="1"/>
  <c r="G10" i="1"/>
  <c r="F10" i="1"/>
  <c r="C10" i="1"/>
  <c r="G9" i="1"/>
  <c r="E9" i="1"/>
  <c r="F8" i="1"/>
  <c r="G8" i="1" s="1"/>
  <c r="G11" i="1" s="1"/>
  <c r="G12" i="1" l="1"/>
  <c r="G14" i="1" s="1"/>
  <c r="I29" i="1"/>
  <c r="I18" i="1"/>
  <c r="G21" i="1"/>
  <c r="G30" i="1"/>
  <c r="I30" i="1" s="1"/>
  <c r="F19" i="1"/>
  <c r="G19" i="1" s="1"/>
  <c r="I19" i="1" s="1"/>
  <c r="G31" i="1" l="1"/>
  <c r="G22" i="1"/>
  <c r="I22" i="1" s="1"/>
  <c r="I21" i="1"/>
  <c r="I24" i="1" s="1"/>
  <c r="G32" i="1" l="1"/>
  <c r="I32" i="1" s="1"/>
  <c r="I31" i="1"/>
  <c r="I34" i="1" s="1"/>
</calcChain>
</file>

<file path=xl/sharedStrings.xml><?xml version="1.0" encoding="utf-8"?>
<sst xmlns="http://schemas.openxmlformats.org/spreadsheetml/2006/main" count="46" uniqueCount="19">
  <si>
    <t>Old Bill</t>
  </si>
  <si>
    <t>Invoive number</t>
  </si>
  <si>
    <t>Customer name</t>
  </si>
  <si>
    <t>Customer number</t>
  </si>
  <si>
    <t>RM</t>
  </si>
  <si>
    <t>Wt</t>
  </si>
  <si>
    <t>Rate</t>
  </si>
  <si>
    <t>Dicount</t>
  </si>
  <si>
    <t>Rate After disc</t>
  </si>
  <si>
    <t>Total</t>
  </si>
  <si>
    <t>18kt Gold</t>
  </si>
  <si>
    <t>Diamonds</t>
  </si>
  <si>
    <t>Making</t>
  </si>
  <si>
    <t>GST</t>
  </si>
  <si>
    <t>Final</t>
  </si>
  <si>
    <t>Exchange</t>
  </si>
  <si>
    <t>Value given</t>
  </si>
  <si>
    <t>Final exchange value</t>
  </si>
  <si>
    <t>Buyback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</si>
</sst>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" fontId="0" fillId="0" borderId="0" xfId="0" applyNumberFormat="1"/>
    <xf numFmtId="1" fontId="0" fillId="2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F75F-3251-704D-94D9-975CD4C72C86}">
  <dimension ref="B2:I34"/>
  <sheetViews>
    <sheetView tabSelected="1" workbookViewId="0">
      <selection activeCell="B2" sqref="B2:I34"/>
    </sheetView>
  </sheetViews>
  <sheetFormatPr baseColWidth="10" defaultRowHeight="16" x14ac:dyDescent="0.2"/>
  <cols>
    <col min="2" max="2" width="19.6640625" customWidth="1"/>
    <col min="5" max="5" width="8.5" customWidth="1"/>
    <col min="6" max="6" width="12.5" customWidth="1"/>
    <col min="7" max="7" width="12.33203125" bestFit="1" customWidth="1"/>
    <col min="9" max="9" width="18.33203125" customWidth="1"/>
  </cols>
  <sheetData>
    <row r="2" spans="2:7" x14ac:dyDescent="0.2">
      <c r="B2" t="s">
        <v>0</v>
      </c>
    </row>
    <row r="3" spans="2:7" x14ac:dyDescent="0.2">
      <c r="B3" t="s">
        <v>1</v>
      </c>
    </row>
    <row r="4" spans="2:7" x14ac:dyDescent="0.2">
      <c r="B4" t="s">
        <v>2</v>
      </c>
    </row>
    <row r="5" spans="2:7" x14ac:dyDescent="0.2">
      <c r="B5" t="s">
        <v>3</v>
      </c>
    </row>
    <row r="7" spans="2:7" x14ac:dyDescent="0.2"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</row>
    <row r="8" spans="2:7" x14ac:dyDescent="0.2">
      <c r="B8" t="s">
        <v>10</v>
      </c>
      <c r="C8">
        <v>14.11</v>
      </c>
      <c r="D8">
        <v>5244</v>
      </c>
      <c r="F8">
        <f>D8-E8</f>
        <v>5244</v>
      </c>
      <c r="G8">
        <f>F8*C8</f>
        <v>73992.84</v>
      </c>
    </row>
    <row r="9" spans="2:7" x14ac:dyDescent="0.2">
      <c r="B9" t="s">
        <v>11</v>
      </c>
      <c r="C9">
        <v>3</v>
      </c>
      <c r="D9">
        <v>70000</v>
      </c>
      <c r="E9" s="1">
        <f>(D9-F9)/D9</f>
        <v>0.21428571428571427</v>
      </c>
      <c r="F9">
        <v>55000</v>
      </c>
      <c r="G9">
        <f t="shared" ref="G9" si="0">F9*C9</f>
        <v>165000</v>
      </c>
    </row>
    <row r="10" spans="2:7" x14ac:dyDescent="0.2">
      <c r="B10" t="s">
        <v>12</v>
      </c>
      <c r="C10">
        <f>C8</f>
        <v>14.11</v>
      </c>
      <c r="D10">
        <v>750</v>
      </c>
      <c r="F10">
        <f>D10-E10</f>
        <v>750</v>
      </c>
      <c r="G10" s="2">
        <f>F10*C10</f>
        <v>10582.5</v>
      </c>
    </row>
    <row r="11" spans="2:7" x14ac:dyDescent="0.2">
      <c r="B11" t="s">
        <v>9</v>
      </c>
      <c r="G11" s="2">
        <f>SUM(G8:G10)</f>
        <v>249575.34</v>
      </c>
    </row>
    <row r="12" spans="2:7" x14ac:dyDescent="0.2">
      <c r="B12" t="s">
        <v>13</v>
      </c>
      <c r="G12" s="2">
        <f>G11*0.03</f>
        <v>7487.2601999999997</v>
      </c>
    </row>
    <row r="14" spans="2:7" x14ac:dyDescent="0.2">
      <c r="B14" t="s">
        <v>14</v>
      </c>
      <c r="G14" s="2">
        <f>G11+G12</f>
        <v>257062.60019999999</v>
      </c>
    </row>
    <row r="16" spans="2:7" x14ac:dyDescent="0.2">
      <c r="B16" t="s">
        <v>15</v>
      </c>
    </row>
    <row r="17" spans="2:9" x14ac:dyDescent="0.2"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  <c r="H17" t="s">
        <v>16</v>
      </c>
      <c r="I17" t="s">
        <v>17</v>
      </c>
    </row>
    <row r="18" spans="2:9" x14ac:dyDescent="0.2">
      <c r="B18" t="s">
        <v>10</v>
      </c>
      <c r="C18">
        <f>C8</f>
        <v>14.11</v>
      </c>
      <c r="D18">
        <v>12050</v>
      </c>
      <c r="F18">
        <f>D18-E18</f>
        <v>12050</v>
      </c>
      <c r="G18" s="2">
        <f>F18*C18</f>
        <v>170025.5</v>
      </c>
      <c r="H18" s="1">
        <v>1</v>
      </c>
      <c r="I18" s="2">
        <f>G18*H18</f>
        <v>170025.5</v>
      </c>
    </row>
    <row r="19" spans="2:9" x14ac:dyDescent="0.2">
      <c r="B19" t="s">
        <v>11</v>
      </c>
      <c r="C19">
        <f>C9</f>
        <v>3</v>
      </c>
      <c r="D19">
        <v>34000</v>
      </c>
      <c r="E19" s="1">
        <f>E9</f>
        <v>0.21428571428571427</v>
      </c>
      <c r="F19" s="2">
        <f>D19-(D19*E19)</f>
        <v>26714.285714285714</v>
      </c>
      <c r="G19" s="2">
        <f t="shared" ref="G19" si="1">F19*C19</f>
        <v>80142.857142857145</v>
      </c>
      <c r="H19" s="1">
        <v>1</v>
      </c>
      <c r="I19" s="2">
        <f t="shared" ref="I19:I22" si="2">G19*H19</f>
        <v>80142.857142857145</v>
      </c>
    </row>
    <row r="20" spans="2:9" x14ac:dyDescent="0.2">
      <c r="B20" t="s">
        <v>12</v>
      </c>
      <c r="C20">
        <f>C18</f>
        <v>14.11</v>
      </c>
      <c r="D20">
        <v>1500</v>
      </c>
      <c r="F20">
        <f>D20-E20</f>
        <v>1500</v>
      </c>
      <c r="G20" s="2">
        <f>F20*C20</f>
        <v>21165</v>
      </c>
      <c r="H20" s="2">
        <v>0</v>
      </c>
      <c r="I20" s="2">
        <f t="shared" si="2"/>
        <v>0</v>
      </c>
    </row>
    <row r="21" spans="2:9" x14ac:dyDescent="0.2">
      <c r="B21" t="s">
        <v>9</v>
      </c>
      <c r="G21" s="2">
        <f>SUM(G18:G20)</f>
        <v>271333.35714285716</v>
      </c>
      <c r="H21" s="2"/>
      <c r="I21" s="2">
        <f t="shared" si="2"/>
        <v>0</v>
      </c>
    </row>
    <row r="22" spans="2:9" x14ac:dyDescent="0.2">
      <c r="B22" t="s">
        <v>13</v>
      </c>
      <c r="G22" s="2">
        <f>G21*0.03</f>
        <v>8140.0007142857148</v>
      </c>
      <c r="H22" s="2">
        <v>0</v>
      </c>
      <c r="I22" s="2">
        <f t="shared" si="2"/>
        <v>0</v>
      </c>
    </row>
    <row r="23" spans="2:9" x14ac:dyDescent="0.2">
      <c r="G23" s="2"/>
      <c r="H23" s="2"/>
      <c r="I23" s="2"/>
    </row>
    <row r="24" spans="2:9" x14ac:dyDescent="0.2">
      <c r="B24" t="s">
        <v>17</v>
      </c>
      <c r="G24" s="2"/>
      <c r="H24" s="2"/>
      <c r="I24" s="3">
        <f>SUM(I18:I23)</f>
        <v>250168.35714285716</v>
      </c>
    </row>
    <row r="26" spans="2:9" x14ac:dyDescent="0.2">
      <c r="B26" t="s">
        <v>18</v>
      </c>
    </row>
    <row r="27" spans="2:9" x14ac:dyDescent="0.2">
      <c r="B27" t="s">
        <v>4</v>
      </c>
      <c r="C27" t="s">
        <v>5</v>
      </c>
      <c r="D27" t="s">
        <v>6</v>
      </c>
      <c r="E27" t="s">
        <v>7</v>
      </c>
      <c r="F27" t="s">
        <v>8</v>
      </c>
      <c r="G27" t="s">
        <v>9</v>
      </c>
      <c r="H27" t="s">
        <v>16</v>
      </c>
      <c r="I27" t="s">
        <v>17</v>
      </c>
    </row>
    <row r="28" spans="2:9" x14ac:dyDescent="0.2">
      <c r="B28" t="s">
        <v>10</v>
      </c>
      <c r="C28">
        <f>C8</f>
        <v>14.11</v>
      </c>
      <c r="D28">
        <v>12050</v>
      </c>
      <c r="F28">
        <f>D28-E28</f>
        <v>12050</v>
      </c>
      <c r="G28" s="2">
        <f>F28*C28</f>
        <v>170025.5</v>
      </c>
      <c r="H28" s="1">
        <v>1</v>
      </c>
      <c r="I28" s="2">
        <f>G28*H28</f>
        <v>170025.5</v>
      </c>
    </row>
    <row r="29" spans="2:9" x14ac:dyDescent="0.2">
      <c r="B29" t="s">
        <v>11</v>
      </c>
      <c r="C29">
        <f>C9</f>
        <v>3</v>
      </c>
      <c r="D29">
        <v>34000</v>
      </c>
      <c r="E29" s="1">
        <f>E19</f>
        <v>0.21428571428571427</v>
      </c>
      <c r="F29" s="2">
        <f>D29-(D29*E29)</f>
        <v>26714.285714285714</v>
      </c>
      <c r="G29" s="2">
        <f t="shared" ref="G29" si="3">F29*C29</f>
        <v>80142.857142857145</v>
      </c>
      <c r="H29" s="1">
        <v>0.8</v>
      </c>
      <c r="I29" s="2">
        <f t="shared" ref="I29:I32" si="4">G29*H29</f>
        <v>64114.285714285717</v>
      </c>
    </row>
    <row r="30" spans="2:9" x14ac:dyDescent="0.2">
      <c r="B30" t="s">
        <v>12</v>
      </c>
      <c r="C30">
        <f>C28</f>
        <v>14.11</v>
      </c>
      <c r="D30">
        <v>1500</v>
      </c>
      <c r="F30">
        <f>D30-E30</f>
        <v>1500</v>
      </c>
      <c r="G30" s="2">
        <f>F30*C30</f>
        <v>21165</v>
      </c>
      <c r="H30" s="2">
        <v>0</v>
      </c>
      <c r="I30" s="2">
        <f t="shared" si="4"/>
        <v>0</v>
      </c>
    </row>
    <row r="31" spans="2:9" x14ac:dyDescent="0.2">
      <c r="B31" t="s">
        <v>9</v>
      </c>
      <c r="G31" s="2">
        <f>SUM(G28:G30)</f>
        <v>271333.35714285716</v>
      </c>
      <c r="H31" s="2"/>
      <c r="I31" s="2">
        <f t="shared" si="4"/>
        <v>0</v>
      </c>
    </row>
    <row r="32" spans="2:9" x14ac:dyDescent="0.2">
      <c r="B32" t="s">
        <v>13</v>
      </c>
      <c r="G32" s="2">
        <f>G31*0.03</f>
        <v>8140.0007142857148</v>
      </c>
      <c r="H32" s="2">
        <v>0</v>
      </c>
      <c r="I32" s="2">
        <f t="shared" si="4"/>
        <v>0</v>
      </c>
    </row>
    <row r="33" spans="2:9" x14ac:dyDescent="0.2">
      <c r="G33" s="2"/>
      <c r="H33" s="2"/>
      <c r="I33" s="2"/>
    </row>
    <row r="34" spans="2:9" x14ac:dyDescent="0.2">
      <c r="B34" t="s">
        <v>17</v>
      </c>
      <c r="G34" s="2"/>
      <c r="H34" s="2"/>
      <c r="I34" s="3">
        <f>SUM(I28:I33)</f>
        <v>234139.78571428571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Buyback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Jain</dc:creator>
  <cp:lastModifiedBy>Pratham Jain</cp:lastModifiedBy>
  <dcterms:created xsi:type="dcterms:W3CDTF">2026-06-15T08:59:32Z</dcterms:created>
  <dcterms:modified xsi:type="dcterms:W3CDTF">2026-06-15T08:59:48Z</dcterms:modified>
</cp:coreProperties>
</file>